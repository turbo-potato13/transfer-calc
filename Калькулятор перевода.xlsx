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xr:revisionPtr revIDLastSave="0" documentId="13_ncr:1_{B9667D84-96F5-4942-83E2-A0BA19DF56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Калькулятор" sheetId="1" r:id="rId1"/>
    <sheet name="Источники курсов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6" i="1" l="1"/>
  <c r="D47" i="1" s="1"/>
  <c r="D48" i="1" s="1"/>
  <c r="C46" i="1"/>
  <c r="C47" i="1" s="1"/>
  <c r="C48" i="1" s="1"/>
  <c r="B46" i="1"/>
  <c r="B47" i="1" s="1"/>
  <c r="B48" i="1" s="1"/>
  <c r="D36" i="1"/>
  <c r="C36" i="1"/>
  <c r="B36" i="1"/>
  <c r="D35" i="1"/>
  <c r="C35" i="1"/>
  <c r="B35" i="1"/>
  <c r="B21" i="1"/>
  <c r="C37" i="1" s="1"/>
  <c r="B19" i="1"/>
  <c r="D34" i="1" s="1"/>
  <c r="C24" i="1" l="1"/>
  <c r="B20" i="1"/>
  <c r="B24" i="1"/>
  <c r="D24" i="1"/>
  <c r="B34" i="1"/>
  <c r="D37" i="1"/>
  <c r="D38" i="1" s="1"/>
  <c r="C34" i="1"/>
  <c r="C38" i="1" s="1"/>
  <c r="B37" i="1"/>
  <c r="B38" i="1" l="1"/>
  <c r="D25" i="1"/>
  <c r="D26" i="1" s="1"/>
  <c r="C25" i="1"/>
  <c r="C26" i="1" s="1"/>
  <c r="B25" i="1"/>
  <c r="B26" i="1" s="1"/>
  <c r="B29" i="1"/>
  <c r="D29" i="1"/>
  <c r="C29" i="1"/>
  <c r="B28" i="1" l="1"/>
  <c r="B27" i="1"/>
  <c r="B39" i="1" s="1"/>
  <c r="C27" i="1"/>
  <c r="C39" i="1" s="1"/>
  <c r="C28" i="1"/>
  <c r="D27" i="1"/>
  <c r="D39" i="1" s="1"/>
  <c r="D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Источник</author>
  </authors>
  <commentList>
    <comment ref="B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1% — перевод с карты обычного банка через приложение/сайт Юнистрим.
0,85% — с карты Юнистрим или по СБП.
0,7% — в кассе офиса Юнистрим.
Источник: unistream.ru/transfers/limits, проверено 03.09.2026.</t>
        </r>
      </text>
    </comment>
    <comment ref="B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Мин. 50 ₽ при переводе с карты другого банка; 30 ₽ с карты Юнистрим/СБП.
Источник: unistream.ru/transfers/limits, проверено 03.09.2026.</t>
        </r>
      </text>
    </comment>
    <comment ref="B8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Наличный курс покупки российского рубля.
Источник: api.prisbank.com/courses, группа «Наличные курсы валют», поле buy.
Значение на 03.09.2026.</t>
        </r>
      </text>
    </comment>
    <comment ref="B9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Официальный курс Приднестровского республиканского банка.
Источник: cbpmr.net/csv.php?vid=val&amp;date=ГГГГ-ММ-ДД&amp;lang=ru
Значение на 02.09.2026 (ПРБ публикует со сдвигом на день).</t>
        </r>
      </text>
    </comment>
    <comment ref="B10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Официальный курс Национального банка Молдовы.
Источник: bnm.md/ru/official_exchange_rates?get_xml=1&amp;date=ДД.ММ.ГГГГ
Значение на 03.09.2026.</t>
        </r>
      </text>
    </comment>
    <comment ref="B1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Наличный курс продажи Приднестровского Сбербанка.
Источник: api.prisbank.com/courses, группа «Наличные курсы валют», поле sale.
Значения на 03.09.2026.</t>
        </r>
      </text>
    </comment>
    <comment ref="C1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Наличный курс продажи Приднестровского Сбербанка.
Источник: api.prisbank.com/courses, группа «Наличные курсы валют», поле sale.
Значения на 03.09.2026.</t>
        </r>
      </text>
    </comment>
    <comment ref="D1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Наличный курс продажи Приднестровского Сбербанка.
Источник: api.prisbank.com/courses, группа «Наличные курсы валют», поле sale.
Значения на 03.09.2026.</t>
        </r>
      </text>
    </comment>
    <comment ref="B14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Официальный курс ПРБ.
Источник: cbpmr.net/csv.php?vid=val&amp;date=ГГГГ-ММ-ДД&amp;lang=ru
Значения на 02.09.2026.</t>
        </r>
      </text>
    </comment>
    <comment ref="C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Официальный курс ПРБ.
Источник: cbpmr.net/csv.php?vid=val&amp;date=ГГГГ-ММ-ДД&amp;lang=ru
Значения на 02.09.2026.</t>
        </r>
      </text>
    </comment>
    <comment ref="D14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Официальный курс ПРБ.
Источник: cbpmr.net/csv.php?vid=val&amp;date=ГГГГ-ММ-ДД&amp;lang=ru
Значения на 02.09.2026.</t>
        </r>
      </text>
    </comment>
    <comment ref="B15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Официальный курс НБМ, лей за 1 единицу валюты.
Источник: bnm.md/ru/official_exchange_rates?get_xml=1&amp;date=ДД.ММ.ГГГГ
Значения на 03.09.2026. Для лея всегда 1 — он сам себе база.</t>
        </r>
      </text>
    </comment>
    <comment ref="C15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Официальный курс НБМ, лей за 1 единицу валюты.
Источник: bnm.md/ru/official_exchange_rates?get_xml=1&amp;date=ДД.ММ.ГГГГ
Значения на 03.09.2026. Для лея всегда 1 — он сам себе база.</t>
        </r>
      </text>
    </comment>
    <comment ref="D15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Официальный курс НБМ, лей за 1 единицу валюты.
Источник: bnm.md/ru/official_exchange_rates?get_xml=1&amp;date=ДД.ММ.ГГГГ
Значения на 03.09.2026. Для лея всегда 1 — он сам себе база.</t>
        </r>
      </text>
    </comment>
    <comment ref="B18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Это то, что тебе ВЫДАДУТ в кассе. Комиссия добавляется сверху.</t>
        </r>
      </text>
    </comment>
    <comment ref="B45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Сколько хочешь получить на руки в этой валюте.</t>
        </r>
      </text>
    </comment>
    <comment ref="C45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Сколько хочешь получить на руки в этой валюте.</t>
        </r>
      </text>
    </comment>
    <comment ref="D45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Сколько хочешь получить на руки в этой валюте.</t>
        </r>
      </text>
    </comment>
  </commentList>
</comments>
</file>

<file path=xl/sharedStrings.xml><?xml version="1.0" encoding="utf-8"?>
<sst xmlns="http://schemas.openxmlformats.org/spreadsheetml/2006/main" count="97" uniqueCount="86">
  <si>
    <t>Калькулятор вывода денег: Россия → Приднестровье → Молдова</t>
  </si>
  <si>
    <t>Цепочка: ₽ на карте РФ → Юнистрим (комиссия сверху) → банк выдачи пересчитывает перевод в ПМР-рубли по своему курсу покупки ₽ → банк обмена продаёт €/лей/$. Наличных рублей РФ на руках не бывает; забрать можно в одном банке, а менять в другом.</t>
  </si>
  <si>
    <t>Заполняй только ЖЁЛТЫЕ ячейки (синий текст). Всё остальное — формулы, считаются сами. Курсы обновляй перед каждым расчётом: где брать — на листе «Источники курсов».</t>
  </si>
  <si>
    <t>1. КУРСЫ И КОМИССИЯ</t>
  </si>
  <si>
    <t>Комиссия Юнистрима, %</t>
  </si>
  <si>
    <t>1% с карты обычного банка · 0,85% с карты Юнистрим или по СБП</t>
  </si>
  <si>
    <t>Минимальная комиссия, ₽</t>
  </si>
  <si>
    <t>Срабатывает только на очень маленьких суммах</t>
  </si>
  <si>
    <t>Прибанк ПОКУПАЕТ ₽</t>
  </si>
  <si>
    <t>ПМР-рублей за 1 ₽ — по этому курсу банк выдачи пересчитывает перевод. Обычно это курс покупки ₽ с табло, но называют его в момент выдачи</t>
  </si>
  <si>
    <t>Официальный курс ПРБ для ₽</t>
  </si>
  <si>
    <t>Нужен только для разбивки потерь в разделе 3</t>
  </si>
  <si>
    <t>Официальный курс НБМ для ₽</t>
  </si>
  <si>
    <t>Лей за 1 ₽ — это эталон «без потерь», от него считается вся потеря</t>
  </si>
  <si>
    <t>Валюта выхода</t>
  </si>
  <si>
    <t>Евро</t>
  </si>
  <si>
    <t>Лей</t>
  </si>
  <si>
    <t>Доллар</t>
  </si>
  <si>
    <t>Прибанк ПРОДАЁТ, ПМР-руб за 1 ед.</t>
  </si>
  <si>
    <t>Официальный ПРБ, ПМР-руб за 1 ед.</t>
  </si>
  <si>
    <t>Официальный НБМ, лей за 1 ед.</t>
  </si>
  <si>
    <t>2. СКОЛЬКО ПОЛУЧУ — отправляю рубли</t>
  </si>
  <si>
    <t>Сумма к выдаче наличными, ₽</t>
  </si>
  <si>
    <t>Столько выдадут в кассе — комиссия сверху, не отсюда</t>
  </si>
  <si>
    <t>Комиссия Юнистрима, ₽</t>
  </si>
  <si>
    <t>Процент от суммы, но не меньше минимума</t>
  </si>
  <si>
    <t>Всего спишется с карты, ₽</t>
  </si>
  <si>
    <t>Реальная цена перевода для тебя</t>
  </si>
  <si>
    <t>ПМР-рублей на руках</t>
  </si>
  <si>
    <t>Столько выдаёт касса банка выдачи. Менять их может уже другой банк</t>
  </si>
  <si>
    <t>Результат</t>
  </si>
  <si>
    <t>Получаешь на руки</t>
  </si>
  <si>
    <t>Было бы по официальному курсу НБМ</t>
  </si>
  <si>
    <t>Потеря, в валюте</t>
  </si>
  <si>
    <t>Потеря, ₽</t>
  </si>
  <si>
    <t>Потеря, %</t>
  </si>
  <si>
    <t>Эффективный курс, ₽ за 1 ед.</t>
  </si>
  <si>
    <t>«Было бы по официальному курсу» — сколько бы вышло, если бы всю сумму, включая комиссию, обменяли по официальному курсу НБМ без единого спреда. Это недостижимый идеал, он и есть точка отсчёта.</t>
  </si>
  <si>
    <t>3. КУДА УХОДЯТ ДЕНЬГИ — разбор потери по шагам, ₽</t>
  </si>
  <si>
    <t>Шаг цепочки</t>
  </si>
  <si>
    <t>Комиссия Юнистрима</t>
  </si>
  <si>
    <t>Разрыв официальных курсов ПМР и Молдовы</t>
  </si>
  <si>
    <t>Спред банка на покупке рубля</t>
  </si>
  <si>
    <t>Спред банка на продаже валюты</t>
  </si>
  <si>
    <t>ИТОГО потеря, ₽</t>
  </si>
  <si>
    <t>Проверка: сходится с разделом 2</t>
  </si>
  <si>
    <t>«Разрыв официальных курсов» — не чья-то комиссия, а разница между официальным курсом ПРБ и официальным курсом НБМ. Убрать его нельзя, но видеть полезно: он не вина банка.</t>
  </si>
  <si>
    <t>4. ОБРАТНЫЙ РАСЧЁТ — нужна конкретная сумма на руки</t>
  </si>
  <si>
    <t>Что нужно</t>
  </si>
  <si>
    <t>Хочу получить на руки</t>
  </si>
  <si>
    <t>Нужно ПМР-рублей</t>
  </si>
  <si>
    <t>Значит, к выдаче наличными, ₽</t>
  </si>
  <si>
    <t>Заплатить с карты, ₽</t>
  </si>
  <si>
    <t>Три колонки независимы — заполняй ту, что нужна сейчас.</t>
  </si>
  <si>
    <t>Откуда брать курсы</t>
  </si>
  <si>
    <t>Все три источника проверены 03.09.2026 и отдают данные без регистрации. Курс самого Юнистрима нигде не публикуется — но на этом маршруте он и не нужен: пересчёт делает банк выдачи, по своему курсу.</t>
  </si>
  <si>
    <t>Ячейка на листе «Калькулятор»</t>
  </si>
  <si>
    <t>Что подставить</t>
  </si>
  <si>
    <t>Где взять</t>
  </si>
  <si>
    <t>Как читать</t>
  </si>
  <si>
    <t>B8</t>
  </si>
  <si>
    <t>Прибанк покупает ₽</t>
  </si>
  <si>
    <t>api.prisbank.com/courses</t>
  </si>
  <si>
    <t>JSON. Группа «Наличные курсы валют» → строка RUB → поле buy</t>
  </si>
  <si>
    <t>B13</t>
  </si>
  <si>
    <t>Прибанк продаёт € / лей / $</t>
  </si>
  <si>
    <t>Та же группа → строки EUR, MDL, USD → поле sale</t>
  </si>
  <si>
    <t>B9, B14</t>
  </si>
  <si>
    <t>Официальный курс ПРБ</t>
  </si>
  <si>
    <t>cbpmr.net/csv.php?vid=val&amp;date=ГГГГ-ММ-ДД&amp;lang=ru</t>
  </si>
  <si>
    <t>B10, B15</t>
  </si>
  <si>
    <t>Официальный курс НБМ</t>
  </si>
  <si>
    <t>bnm.md/ru/official_exchange_rates?get_xml=1&amp;date=ДД.ММ.ГГГГ</t>
  </si>
  <si>
    <t>XML. Тег &lt;Valute&gt; → &lt;CharCode&gt;RUB/EUR/USD&lt;/CharCode&gt; → &lt;Value&gt;. Для лея всегда 1</t>
  </si>
  <si>
    <t>B6, B7</t>
  </si>
  <si>
    <t>unistream.ru/transfers/limits</t>
  </si>
  <si>
    <t>Строка «В Молдову с одинаковыми валютами оплаты и выдачи». Меняется редко</t>
  </si>
  <si>
    <t>Важные оговорки</t>
  </si>
  <si>
    <t>• Курс в кассе может отличаться от опубликованного на сайте — если стоишь у окна, вбивай то, что видишь там.</t>
  </si>
  <si>
    <t>• У Прибанка в API четыре группы курсов: официальные, наличные, коммерческий для физлиц и спецкурс для пенсий РФ. Для этого расчёта нужна группа «Наличные курсы валют».</t>
  </si>
  <si>
    <t>• ПРБ публикует официальный курс со сдвигом: 3 сентября в выгрузке лежит курс на 2 сентября. На разбивку потерь это влияет слабо.</t>
  </si>
  <si>
    <t>• Приднестровский рубль не имеет кода ISO 4217 и отсутствует во всех глобальных API курсов. Единственные источники — сайты банков ПМР и ПРБ.</t>
  </si>
  <si>
    <t>• Юнистрим выдаёт ПМР-рубли — наличных рублей РФ на руках не бывает. Пересчёт ₽ → ПМР-рубль делает банк выдачи по своему кассовому курсу покупки ₽ (B8); вторую конвертацию делает касса банка обмена (B13). Привязки между ними нет: забрать можно в одном банке, менять в другом.</t>
  </si>
  <si>
    <t>CSV в кодировке windows-1251. Колонки: дата, название, код, номинал, курс. Работает и по http, и по https. Человеку удобнее страница cbpmr.net/kursval.php?lang=ru</t>
  </si>
  <si>
    <t>• Официальный курс ПРБ дублируется внутри api.prisbank.com/courses — блок «Официальные курсы валют». Сверено по всем валютам: совпадает с cbpmr.net до последнего знака. Удобно, если хочешь брать все курсы из одного места.</t>
  </si>
  <si>
    <t>Проверка должна быть нулём: четыре шага в сумме обязаны дать ту же потерю, что и прямая разница «идеал минус факт». Но это тождество — оно выполняется при ЛЮБЫХ курсах, так что нулём проверяется целостность самих формул, а не правильность курсов. Сбитый курс эта проверка не покажет. Не ноль — значит, повреждена формула в разборе.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</si>
</sst>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9"/>
      <color rgb="FF595959"/>
      <name val="Arial"/>
    </font>
    <font>
      <b/>
      <sz val="11"/>
      <color rgb="FFFFFFFF"/>
      <name val="Arial"/>
    </font>
    <font>
      <sz val="10"/>
      <name val="Arial"/>
    </font>
    <font>
      <sz val="10"/>
      <color rgb="FF0000FF"/>
      <name val="Arial"/>
    </font>
    <font>
      <i/>
      <sz val="9"/>
      <color rgb="FF808080"/>
      <name val="Arial"/>
    </font>
    <font>
      <b/>
      <sz val="10"/>
      <name val="Arial"/>
    </font>
    <font>
      <sz val="10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/>
    <xf numFmtId="0" fontId="0" fillId="2" borderId="0" xfId="0" applyFill="1"/>
    <xf numFmtId="0" fontId="4" fillId="0" borderId="0" xfId="0" applyFont="1"/>
    <xf numFmtId="10" fontId="5" fillId="3" borderId="1" xfId="0" applyNumberFormat="1" applyFont="1" applyFill="1" applyBorder="1"/>
    <xf numFmtId="0" fontId="6" fillId="0" borderId="0" xfId="0" applyFont="1"/>
    <xf numFmtId="4" fontId="5" fillId="3" borderId="1" xfId="0" applyNumberFormat="1" applyFont="1" applyFill="1" applyBorder="1"/>
    <xf numFmtId="164" fontId="5" fillId="3" borderId="1" xfId="0" applyNumberFormat="1" applyFont="1" applyFill="1" applyBorder="1"/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center"/>
    </xf>
    <xf numFmtId="0" fontId="7" fillId="0" borderId="0" xfId="0" applyFont="1"/>
    <xf numFmtId="4" fontId="4" fillId="0" borderId="0" xfId="0" applyNumberFormat="1" applyFont="1"/>
    <xf numFmtId="4" fontId="7" fillId="5" borderId="0" xfId="0" applyNumberFormat="1" applyFont="1" applyFill="1"/>
    <xf numFmtId="10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0" fontId="7" fillId="4" borderId="1" xfId="0" applyFont="1" applyFill="1" applyBorder="1"/>
    <xf numFmtId="0" fontId="4" fillId="0" borderId="0" xfId="0" applyFont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pane ySplit="3" topLeftCell="A7" activePane="bottomLeft" state="frozen"/>
      <selection pane="bottomLeft" activeCell="E25" sqref="E25"/>
    </sheetView>
  </sheetViews>
  <sheetFormatPr defaultRowHeight="15" x14ac:dyDescent="0.25"/>
  <cols>
    <col min="1" max="1" width="42" customWidth="1"/>
    <col min="2" max="4" width="16" customWidth="1"/>
    <col min="5" max="5" width="60" customWidth="1"/>
  </cols>
  <sheetData>
    <row r="1" spans="1:5" ht="18" x14ac:dyDescent="0.25">
      <c r="A1" s="20" t="s">
        <v>0</v>
      </c>
      <c r="B1" s="19"/>
      <c r="C1" s="19"/>
      <c r="D1" s="19"/>
      <c r="E1" s="19"/>
    </row>
    <row r="2" spans="1:5" x14ac:dyDescent="0.25">
      <c r="A2" s="18" t="s">
        <v>1</v>
      </c>
      <c r="B2" s="19"/>
      <c r="C2" s="19"/>
      <c r="D2" s="19"/>
      <c r="E2" s="19"/>
    </row>
    <row r="3" spans="1:5" x14ac:dyDescent="0.25">
      <c r="A3" s="18" t="s">
        <v>2</v>
      </c>
      <c r="B3" s="19"/>
      <c r="C3" s="19"/>
      <c r="D3" s="19"/>
      <c r="E3" s="19"/>
    </row>
    <row r="5" spans="1:5" x14ac:dyDescent="0.25">
      <c r="A5" s="1" t="s">
        <v>3</v>
      </c>
      <c r="B5" s="2"/>
      <c r="C5" s="2"/>
      <c r="D5" s="2"/>
      <c r="E5" s="2"/>
    </row>
    <row r="6" spans="1:5" x14ac:dyDescent="0.25">
      <c r="A6" s="3" t="s">
        <v>4</v>
      </c>
      <c r="B6" s="4">
        <v>0.01</v>
      </c>
      <c r="C6" s="5" t="s">
        <v>5</v>
      </c>
    </row>
    <row r="7" spans="1:5" x14ac:dyDescent="0.25">
      <c r="A7" s="3" t="s">
        <v>6</v>
      </c>
      <c r="B7" s="6">
        <v>50</v>
      </c>
      <c r="C7" s="5" t="s">
        <v>7</v>
      </c>
    </row>
    <row r="8" spans="1:5" x14ac:dyDescent="0.25">
      <c r="A8" s="3" t="s">
        <v>8</v>
      </c>
      <c r="B8" s="7">
        <v>0.17699999999999999</v>
      </c>
      <c r="C8" s="5" t="s">
        <v>9</v>
      </c>
    </row>
    <row r="9" spans="1:5" x14ac:dyDescent="0.25">
      <c r="A9" s="3" t="s">
        <v>10</v>
      </c>
      <c r="B9" s="7">
        <v>0.18229999999999999</v>
      </c>
      <c r="C9" s="5" t="s">
        <v>11</v>
      </c>
    </row>
    <row r="10" spans="1:5" x14ac:dyDescent="0.25">
      <c r="A10" s="3" t="s">
        <v>12</v>
      </c>
      <c r="B10" s="7">
        <v>0.1993</v>
      </c>
      <c r="C10" s="5" t="s">
        <v>13</v>
      </c>
    </row>
    <row r="12" spans="1:5" x14ac:dyDescent="0.25">
      <c r="A12" s="8" t="s">
        <v>14</v>
      </c>
      <c r="B12" s="9" t="s">
        <v>15</v>
      </c>
      <c r="C12" s="9" t="s">
        <v>16</v>
      </c>
      <c r="D12" s="9" t="s">
        <v>17</v>
      </c>
    </row>
    <row r="13" spans="1:5" x14ac:dyDescent="0.25">
      <c r="A13" s="3" t="s">
        <v>18</v>
      </c>
      <c r="B13" s="7">
        <v>19.600000000000001</v>
      </c>
      <c r="C13" s="7">
        <v>1</v>
      </c>
      <c r="D13" s="7">
        <v>16.350000000000001</v>
      </c>
    </row>
    <row r="14" spans="1:5" x14ac:dyDescent="0.25">
      <c r="A14" s="3" t="s">
        <v>19</v>
      </c>
      <c r="B14" s="7">
        <v>18.6631</v>
      </c>
      <c r="C14" s="7">
        <v>0.92989999999999995</v>
      </c>
      <c r="D14" s="7">
        <v>16.100000000000001</v>
      </c>
    </row>
    <row r="15" spans="1:5" x14ac:dyDescent="0.25">
      <c r="A15" s="3" t="s">
        <v>20</v>
      </c>
      <c r="B15" s="7">
        <v>20.021599999999999</v>
      </c>
      <c r="C15" s="7">
        <v>1</v>
      </c>
      <c r="D15" s="7">
        <v>17.3048</v>
      </c>
    </row>
    <row r="17" spans="1:5" x14ac:dyDescent="0.25">
      <c r="A17" s="1" t="s">
        <v>21</v>
      </c>
      <c r="B17" s="2"/>
      <c r="C17" s="2"/>
      <c r="D17" s="2"/>
      <c r="E17" s="2"/>
    </row>
    <row r="18" spans="1:5" x14ac:dyDescent="0.25">
      <c r="A18" s="10" t="s">
        <v>22</v>
      </c>
      <c r="B18" s="6">
        <v>184000</v>
      </c>
      <c r="C18" s="5" t="s">
        <v>23</v>
      </c>
    </row>
    <row r="19" spans="1:5" x14ac:dyDescent="0.25">
      <c r="A19" s="3" t="s">
        <v>24</v>
      </c>
      <c r="B19" s="11">
        <f>MAX(B18*B6,B7)</f>
        <v>1840</v>
      </c>
      <c r="C19" s="5" t="s">
        <v>25</v>
      </c>
    </row>
    <row r="20" spans="1:5" x14ac:dyDescent="0.25">
      <c r="A20" s="10" t="s">
        <v>26</v>
      </c>
      <c r="B20" s="12">
        <f>B18+B19</f>
        <v>185840</v>
      </c>
      <c r="C20" s="5" t="s">
        <v>27</v>
      </c>
    </row>
    <row r="21" spans="1:5" x14ac:dyDescent="0.25">
      <c r="A21" s="3" t="s">
        <v>28</v>
      </c>
      <c r="B21" s="11">
        <f>B18*B8</f>
        <v>32568</v>
      </c>
      <c r="C21" s="5" t="s">
        <v>29</v>
      </c>
    </row>
    <row r="23" spans="1:5" x14ac:dyDescent="0.25">
      <c r="A23" s="8" t="s">
        <v>30</v>
      </c>
      <c r="B23" s="9" t="s">
        <v>15</v>
      </c>
      <c r="C23" s="9" t="s">
        <v>16</v>
      </c>
      <c r="D23" s="9" t="s">
        <v>17</v>
      </c>
    </row>
    <row r="24" spans="1:5" x14ac:dyDescent="0.25">
      <c r="A24" s="10" t="s">
        <v>31</v>
      </c>
      <c r="B24" s="12">
        <f>$B$21/B13</f>
        <v>1661.6326530612243</v>
      </c>
      <c r="C24" s="12">
        <f>$B$21/C13</f>
        <v>32568</v>
      </c>
      <c r="D24" s="12">
        <f>$B$21/D13</f>
        <v>1991.9266055045871</v>
      </c>
    </row>
    <row r="25" spans="1:5" x14ac:dyDescent="0.25">
      <c r="A25" s="3" t="s">
        <v>32</v>
      </c>
      <c r="B25" s="11">
        <f>$B$20*$B$10/B15</f>
        <v>1849.8977104726898</v>
      </c>
      <c r="C25" s="11">
        <f>$B$20*$B$10/C15</f>
        <v>37037.912000000004</v>
      </c>
      <c r="D25" s="11">
        <f>$B$20*$B$10/D15</f>
        <v>2140.3259211317095</v>
      </c>
    </row>
    <row r="26" spans="1:5" x14ac:dyDescent="0.25">
      <c r="A26" s="3" t="s">
        <v>33</v>
      </c>
      <c r="B26" s="11">
        <f>B25-B24</f>
        <v>188.26505741146548</v>
      </c>
      <c r="C26" s="11">
        <f>C25-C24</f>
        <v>4469.9120000000039</v>
      </c>
      <c r="D26" s="11">
        <f>D25-D24</f>
        <v>148.39931562712241</v>
      </c>
    </row>
    <row r="27" spans="1:5" x14ac:dyDescent="0.25">
      <c r="A27" s="3" t="s">
        <v>34</v>
      </c>
      <c r="B27" s="11">
        <f>B26*B15/$B$10</f>
        <v>18913.033986299033</v>
      </c>
      <c r="C27" s="11">
        <f>C26*C15/$B$10</f>
        <v>22428.058203713015</v>
      </c>
      <c r="D27" s="11">
        <f>D26*D15/$B$10</f>
        <v>12885.200587376958</v>
      </c>
    </row>
    <row r="28" spans="1:5" x14ac:dyDescent="0.25">
      <c r="A28" s="3" t="s">
        <v>35</v>
      </c>
      <c r="B28" s="13">
        <f>IFERROR(B26/B25,"")</f>
        <v>0.10177052295683937</v>
      </c>
      <c r="C28" s="13">
        <f>IFERROR(C26/C25,"")</f>
        <v>0.1206847729429241</v>
      </c>
      <c r="D28" s="13">
        <f>IFERROR(D26/D25,"")</f>
        <v>6.9334914912704243E-2</v>
      </c>
    </row>
    <row r="29" spans="1:5" x14ac:dyDescent="0.25">
      <c r="A29" s="3" t="s">
        <v>36</v>
      </c>
      <c r="B29" s="14">
        <f>IFERROR($B$20/B24,"")</f>
        <v>111.84180790960453</v>
      </c>
      <c r="C29" s="14">
        <f>IFERROR($B$20/C24,"")</f>
        <v>5.7062146892655363</v>
      </c>
      <c r="D29" s="14">
        <f>IFERROR($B$20/D24,"")</f>
        <v>93.29661016949153</v>
      </c>
    </row>
    <row r="30" spans="1:5" x14ac:dyDescent="0.25">
      <c r="A30" s="5" t="s">
        <v>37</v>
      </c>
    </row>
    <row r="32" spans="1:5" x14ac:dyDescent="0.25">
      <c r="A32" s="1" t="s">
        <v>38</v>
      </c>
      <c r="B32" s="2"/>
      <c r="C32" s="2"/>
      <c r="D32" s="2"/>
      <c r="E32" s="2"/>
    </row>
    <row r="33" spans="1:5" x14ac:dyDescent="0.25">
      <c r="A33" s="8" t="s">
        <v>39</v>
      </c>
      <c r="B33" s="9" t="s">
        <v>15</v>
      </c>
      <c r="C33" s="9" t="s">
        <v>16</v>
      </c>
      <c r="D33" s="9" t="s">
        <v>17</v>
      </c>
    </row>
    <row r="34" spans="1:5" x14ac:dyDescent="0.25">
      <c r="A34" s="3" t="s">
        <v>40</v>
      </c>
      <c r="B34" s="11">
        <f>$B$19</f>
        <v>1840</v>
      </c>
      <c r="C34" s="11">
        <f>$B$19</f>
        <v>1840</v>
      </c>
      <c r="D34" s="11">
        <f>$B$19</f>
        <v>1840</v>
      </c>
    </row>
    <row r="35" spans="1:5" x14ac:dyDescent="0.25">
      <c r="A35" s="3" t="s">
        <v>41</v>
      </c>
      <c r="B35" s="11">
        <f>($B$18*$B$10/B15-$B$18*$B$9/B14)*B15/$B$10</f>
        <v>3443.8895893653389</v>
      </c>
      <c r="C35" s="11">
        <f>($B$18*$B$10/C15-$B$18*$B$9/C14)*C15/$B$10</f>
        <v>3007.3473093023545</v>
      </c>
      <c r="D35" s="11">
        <f>($B$18*$B$10/D15-$B$18*$B$9/D14)*D15/$B$10</f>
        <v>3100.2772561107258</v>
      </c>
    </row>
    <row r="36" spans="1:5" x14ac:dyDescent="0.25">
      <c r="A36" s="3" t="s">
        <v>42</v>
      </c>
      <c r="B36" s="11">
        <f>$B$18*($B$9-$B$8)/B14*B15/$B$10</f>
        <v>5249.299973540119</v>
      </c>
      <c r="C36" s="11">
        <f>$B$18*($B$9-$B$8)/C14*C15/$B$10</f>
        <v>5261.9915483307605</v>
      </c>
      <c r="D36" s="11">
        <f>$B$18*($B$9-$B$8)/D14*D15/$B$10</f>
        <v>5259.2898000143341</v>
      </c>
    </row>
    <row r="37" spans="1:5" x14ac:dyDescent="0.25">
      <c r="A37" s="3" t="s">
        <v>43</v>
      </c>
      <c r="B37" s="11">
        <f>($B$21/B14-$B$21/B13)*B15/$B$10</f>
        <v>8379.8444233935734</v>
      </c>
      <c r="C37" s="11">
        <f>($B$21/C14-$B$21/C13)*C15/$B$10</f>
        <v>12318.719346079937</v>
      </c>
      <c r="D37" s="11">
        <f>($B$21/D14-$B$21/D13)*D15/$B$10</f>
        <v>2685.6335312519</v>
      </c>
    </row>
    <row r="38" spans="1:5" x14ac:dyDescent="0.25">
      <c r="A38" s="10" t="s">
        <v>44</v>
      </c>
      <c r="B38" s="12">
        <f>SUM(B34:B37)</f>
        <v>18913.033986299029</v>
      </c>
      <c r="C38" s="12">
        <f>SUM(C34:C37)</f>
        <v>22428.058203713052</v>
      </c>
      <c r="D38" s="12">
        <f>SUM(D34:D37)</f>
        <v>12885.200587376959</v>
      </c>
    </row>
    <row r="39" spans="1:5" x14ac:dyDescent="0.25">
      <c r="A39" s="3" t="s">
        <v>45</v>
      </c>
      <c r="B39" s="15">
        <f>B38-B27</f>
        <v>0</v>
      </c>
      <c r="C39" s="15">
        <f>C38-C27</f>
        <v>3.637978807091713E-11</v>
      </c>
      <c r="D39" s="15">
        <f>D38-D27</f>
        <v>0</v>
      </c>
    </row>
    <row r="40" spans="1:5" x14ac:dyDescent="0.25">
      <c r="A40" s="5" t="s">
        <v>85</v>
      </c>
    </row>
    <row r="41" spans="1:5" x14ac:dyDescent="0.25">
      <c r="A41" s="5" t="s">
        <v>46</v>
      </c>
    </row>
    <row r="43" spans="1:5" x14ac:dyDescent="0.25">
      <c r="A43" s="1" t="s">
        <v>47</v>
      </c>
      <c r="B43" s="2"/>
      <c r="C43" s="2"/>
      <c r="D43" s="2"/>
      <c r="E43" s="2"/>
    </row>
    <row r="44" spans="1:5" x14ac:dyDescent="0.25">
      <c r="A44" s="8" t="s">
        <v>48</v>
      </c>
      <c r="B44" s="9" t="s">
        <v>15</v>
      </c>
      <c r="C44" s="9" t="s">
        <v>16</v>
      </c>
      <c r="D44" s="9" t="s">
        <v>17</v>
      </c>
    </row>
    <row r="45" spans="1:5" x14ac:dyDescent="0.25">
      <c r="A45" s="10" t="s">
        <v>49</v>
      </c>
      <c r="B45" s="6">
        <v>550</v>
      </c>
      <c r="C45" s="6">
        <v>10000</v>
      </c>
      <c r="D45" s="6">
        <v>500</v>
      </c>
    </row>
    <row r="46" spans="1:5" x14ac:dyDescent="0.25">
      <c r="A46" s="3" t="s">
        <v>50</v>
      </c>
      <c r="B46" s="11">
        <f>B45*B13</f>
        <v>10780</v>
      </c>
      <c r="C46" s="11">
        <f>C45*C13</f>
        <v>10000</v>
      </c>
      <c r="D46" s="11">
        <f>D45*D13</f>
        <v>8175.0000000000009</v>
      </c>
    </row>
    <row r="47" spans="1:5" x14ac:dyDescent="0.25">
      <c r="A47" s="3" t="s">
        <v>51</v>
      </c>
      <c r="B47" s="11">
        <f>IFERROR(B46/$B$8,"")</f>
        <v>60903.95480225989</v>
      </c>
      <c r="C47" s="11">
        <f>IFERROR(C46/$B$8,"")</f>
        <v>56497.175141242944</v>
      </c>
      <c r="D47" s="11">
        <f>IFERROR(D46/$B$8,"")</f>
        <v>46186.440677966108</v>
      </c>
    </row>
    <row r="48" spans="1:5" x14ac:dyDescent="0.25">
      <c r="A48" s="10" t="s">
        <v>52</v>
      </c>
      <c r="B48" s="12">
        <f>IFERROR(B47+MAX(B47*$B$6,$B$7),"")</f>
        <v>61512.99435028249</v>
      </c>
      <c r="C48" s="12">
        <f>IFERROR(C47+MAX(C47*$B$6,$B$7),"")</f>
        <v>57062.146892655372</v>
      </c>
      <c r="D48" s="12">
        <f>IFERROR(D47+MAX(D47*$B$6,$B$7),"")</f>
        <v>46648.305084745771</v>
      </c>
    </row>
    <row r="49" spans="1:1" x14ac:dyDescent="0.25">
      <c r="A49" s="5" t="s">
        <v>53</v>
      </c>
    </row>
  </sheetData>
  <mergeCells count="3">
    <mergeCell ref="A2:E2"/>
    <mergeCell ref="A1:E1"/>
    <mergeCell ref="A3:E3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/>
  </sheetViews>
  <sheetFormatPr defaultRowHeight="15" x14ac:dyDescent="0.25"/>
  <cols>
    <col min="1" max="1" width="28" customWidth="1"/>
    <col min="2" max="2" width="26" customWidth="1"/>
    <col min="3" max="3" width="52" customWidth="1"/>
    <col min="4" max="4" width="60" customWidth="1"/>
  </cols>
  <sheetData>
    <row r="1" spans="1:4" ht="18" x14ac:dyDescent="0.25">
      <c r="A1" s="20" t="s">
        <v>54</v>
      </c>
      <c r="B1" s="19"/>
      <c r="C1" s="19"/>
      <c r="D1" s="19"/>
    </row>
    <row r="2" spans="1:4" x14ac:dyDescent="0.25">
      <c r="A2" s="18" t="s">
        <v>55</v>
      </c>
      <c r="B2" s="19"/>
      <c r="C2" s="19"/>
      <c r="D2" s="19"/>
    </row>
    <row r="4" spans="1:4" x14ac:dyDescent="0.25">
      <c r="A4" s="16" t="s">
        <v>56</v>
      </c>
      <c r="B4" s="16" t="s">
        <v>57</v>
      </c>
      <c r="C4" s="16" t="s">
        <v>58</v>
      </c>
      <c r="D4" s="16" t="s">
        <v>59</v>
      </c>
    </row>
    <row r="5" spans="1:4" ht="32.1" customHeight="1" x14ac:dyDescent="0.25">
      <c r="A5" s="10" t="s">
        <v>60</v>
      </c>
      <c r="B5" s="17" t="s">
        <v>61</v>
      </c>
      <c r="C5" s="17" t="s">
        <v>62</v>
      </c>
      <c r="D5" s="17" t="s">
        <v>63</v>
      </c>
    </row>
    <row r="6" spans="1:4" ht="32.1" customHeight="1" x14ac:dyDescent="0.25">
      <c r="A6" s="10" t="s">
        <v>64</v>
      </c>
      <c r="B6" s="17" t="s">
        <v>65</v>
      </c>
      <c r="C6" s="17" t="s">
        <v>62</v>
      </c>
      <c r="D6" s="17" t="s">
        <v>66</v>
      </c>
    </row>
    <row r="7" spans="1:4" ht="32.1" customHeight="1" x14ac:dyDescent="0.25">
      <c r="A7" s="10" t="s">
        <v>67</v>
      </c>
      <c r="B7" s="17" t="s">
        <v>68</v>
      </c>
      <c r="C7" s="17" t="s">
        <v>69</v>
      </c>
      <c r="D7" s="17" t="s">
        <v>83</v>
      </c>
    </row>
    <row r="8" spans="1:4" ht="32.1" customHeight="1" x14ac:dyDescent="0.25">
      <c r="A8" s="10" t="s">
        <v>70</v>
      </c>
      <c r="B8" s="17" t="s">
        <v>71</v>
      </c>
      <c r="C8" s="17" t="s">
        <v>72</v>
      </c>
      <c r="D8" s="17" t="s">
        <v>73</v>
      </c>
    </row>
    <row r="9" spans="1:4" ht="32.1" customHeight="1" x14ac:dyDescent="0.25">
      <c r="A9" s="10" t="s">
        <v>74</v>
      </c>
      <c r="B9" s="17" t="s">
        <v>40</v>
      </c>
      <c r="C9" s="17" t="s">
        <v>75</v>
      </c>
      <c r="D9" s="17" t="s">
        <v>76</v>
      </c>
    </row>
    <row r="11" spans="1:4" x14ac:dyDescent="0.25">
      <c r="A11" s="10" t="s">
        <v>77</v>
      </c>
    </row>
    <row r="12" spans="1:4" ht="30" customHeight="1" x14ac:dyDescent="0.25">
      <c r="A12" s="23" t="s">
        <v>78</v>
      </c>
      <c r="B12" s="19"/>
      <c r="C12" s="19"/>
      <c r="D12" s="19"/>
    </row>
    <row r="13" spans="1:4" ht="30" customHeight="1" x14ac:dyDescent="0.25">
      <c r="A13" s="23" t="s">
        <v>79</v>
      </c>
      <c r="B13" s="19"/>
      <c r="C13" s="19"/>
      <c r="D13" s="19"/>
    </row>
    <row r="14" spans="1:4" ht="30" customHeight="1" x14ac:dyDescent="0.25">
      <c r="A14" s="23" t="s">
        <v>80</v>
      </c>
      <c r="B14" s="19"/>
      <c r="C14" s="19"/>
      <c r="D14" s="19"/>
    </row>
    <row r="15" spans="1:4" ht="30" customHeight="1" x14ac:dyDescent="0.25">
      <c r="A15" s="23" t="s">
        <v>81</v>
      </c>
      <c r="B15" s="19"/>
      <c r="C15" s="19"/>
      <c r="D15" s="19"/>
    </row>
    <row r="16" spans="1:4" ht="30" customHeight="1" x14ac:dyDescent="0.25">
      <c r="A16" s="23" t="s">
        <v>82</v>
      </c>
      <c r="B16" s="19"/>
      <c r="C16" s="19"/>
      <c r="D16" s="19"/>
    </row>
    <row r="17" spans="1:4" ht="30" customHeight="1" x14ac:dyDescent="0.25">
      <c r="A17" s="21" t="s">
        <v>84</v>
      </c>
      <c r="B17" s="22"/>
      <c r="C17" s="22"/>
      <c r="D17" s="22"/>
    </row>
  </sheetData>
  <mergeCells count="8">
    <mergeCell ref="A17:D17"/>
    <mergeCell ref="A1:D1"/>
    <mergeCell ref="A12:D12"/>
    <mergeCell ref="A15:D15"/>
    <mergeCell ref="A2:D2"/>
    <mergeCell ref="A16:D16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Калькулятор</vt:lpstr>
      <vt:lpstr>Источники курсов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turbo-potato13</cp:lastModifiedBy>
  <dcterms:created xsi:type="dcterms:W3CDTF">2026-09-03T11:41:51Z</dcterms:created>
  <dcterms:modified xsi:type="dcterms:W3CDTF">2026-09-03T20:20:47Z</dcterms:modified>
</cp:coreProperties>
</file>